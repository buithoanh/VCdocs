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áo cáo" sheetId="1" state="visible" r:id="rId1"/>
  </sheets>
  <definedNames>
    <definedName name="_xlnm._FilterDatabase" localSheetId="0" hidden="1">'Báo cáo'!$A$1:$G$4</definedName>
  </definedNames>
  <calcPr fullCalcOnLoad="1"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<sst xmlns="http://schemas.openxmlformats.org/spreadsheetml/2006/main" count="13" uniqueCount="13">
  <si>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Mã</t>
  </si>
  <si>
    <t>Nhóm</t>
  </si>
  <si>
    <t>Ngày</t>
  </si>
  <si>
    <t xml:space="preserve">Số lượng</t>
  </si>
  <si>
    <t xml:space="preserve">Đơn giá</t>
  </si>
  <si>
    <t xml:space="preserve">Thành tiền</t>
  </si>
  <si>
    <t xml:space="preserve">Chỉ số</t>
  </si>
  <si>
    <t>PT-01</t>
  </si>
  <si>
    <t xml:space="preserve">Phụ tùng</t>
  </si>
  <si>
    <t>DV-01</t>
  </si>
  <si>
    <t xml:space="preserve">Dịch vụ</t>
  </si>
  <si>
    <t>PT-02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</si>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</sst>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.##0 [$₫-vi-VN]"/>
  </numFmts>
  <fonts count="2">
    <font>
      <sz val="11.000000"/>
      <name val="Arial"/>
    </font>
    <font>
      <b/>
      <sz val="11.000000"/>
      <color indexed="65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1" borderId="0" numFmtId="0" xfId="0" applyFont="1" applyFill="1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2" width="16"/>
    <col customWidth="1" min="3" max="3" width="13"/>
    <col customWidth="1" min="4" max="7" width="1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s="2">
        <v>46315</v>
      </c>
      <c r="D2">
        <v>4</v>
      </c>
      <c r="E2" s="3">
        <v>1500000</v>
      </c>
      <c r="F2" s="3">
        <f t="shared" ref="F2:F4" si="0">D2*E2</f>
        <v>6000000</v>
      </c>
      <c r="G2" t="str">
        <f>IF(F5&gt;7000000,"Vượt ngưỡng","Trong ngưỡng")</f>
        <v xml:space="preserve">Vượt ngưỡng</v>
      </c>
    </row>
    <row r="3">
      <c r="A3" t="s">
        <v>9</v>
      </c>
      <c r="B3" t="s">
        <v>10</v>
      </c>
      <c r="C3" s="2">
        <v>46316</v>
      </c>
      <c r="D3">
        <v>3</v>
      </c>
      <c r="E3" s="3">
        <v>800000</v>
      </c>
      <c r="F3" s="3">
        <f t="shared" si="0"/>
        <v>2400000</v>
      </c>
      <c r="G3" s="3">
        <f>SUMIF(B2:B4,"Phụ tùng",F2:F4)</f>
        <v>8000000</v>
      </c>
    </row>
    <row r="4">
      <c r="A4" t="s">
        <v>11</v>
      </c>
      <c r="B4" t="s">
        <v>8</v>
      </c>
      <c r="C4" s="2">
        <v>46317</v>
      </c>
      <c r="D4">
        <v>1</v>
      </c>
      <c r="E4" s="3">
        <v>2000000</v>
      </c>
      <c r="F4" s="3">
        <f t="shared" si="0"/>
        <v>2000000</v>
      </c>
      <c r="G4" s="3">
        <f>VLOOKUP("DV-01",A2:F4,6,FALSE)</f>
        <v>2400000</v>
      </c>
    </row>
    <row r="5">
      <c r="A5" s="1" t="s">
        <v>12</v>
      </c>
      <c r="F5" s="3">
        <f>SUM(F2:F4)</f>
        <v>10400000</v>
      </c>
    </row>
  </sheetData>
  <autoFilter ref="A1:G4">
    <filterColumn colId="1">
      <filters>
        <filter val="Phụ tùng"/>
        <filter val="Dịch vụ"/>
      </filters>
    </filterColumn>
    <sortState ref="A2:G4">
      <sortCondition descending="1" ref="F2:F4"/>
    </sortState>
  </autoFilter>
  <printOptions headings="0" gridLines="0"/>
  <pageMargins left="0.29999999999999999" right="0.29999999999999999" top="0.5" bottom="0.5" header="0.20000000000000004" footer="0.20000000000000004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